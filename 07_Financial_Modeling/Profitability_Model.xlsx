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7_Financial_Modeling\"/>
    </mc:Choice>
  </mc:AlternateContent>
  <xr:revisionPtr revIDLastSave="0" documentId="13_ncr:1_{C8921234-87B7-4880-9009-D41CBADFFD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fitability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9" i="1"/>
  <c r="B26" i="1"/>
  <c r="B25" i="1"/>
  <c r="C22" i="1"/>
  <c r="C21" i="1"/>
  <c r="C20" i="1"/>
  <c r="C19" i="1"/>
  <c r="B13" i="1"/>
  <c r="B7" i="1"/>
  <c r="B8" i="1" s="1"/>
  <c r="B27" i="1" l="1"/>
  <c r="B15" i="1"/>
  <c r="B28" i="1"/>
</calcChain>
</file>

<file path=xl/sharedStrings.xml><?xml version="1.0" encoding="utf-8"?>
<sst xmlns="http://schemas.openxmlformats.org/spreadsheetml/2006/main" count="22" uniqueCount="20">
  <si>
    <t>PROFITABILITY MODEL</t>
  </si>
  <si>
    <t>Revenue</t>
  </si>
  <si>
    <t>Hosting Cost</t>
  </si>
  <si>
    <t>Marketing Cost</t>
  </si>
  <si>
    <t>Admin Cost</t>
  </si>
  <si>
    <t>Total Cost</t>
  </si>
  <si>
    <t>Net Profit</t>
  </si>
  <si>
    <t>Profit Margin %</t>
  </si>
  <si>
    <t>PER BOOKING METRICS</t>
  </si>
  <si>
    <t>Bookings</t>
  </si>
  <si>
    <t>Revenue Per Booking</t>
  </si>
  <si>
    <t>Cost Per Booking</t>
  </si>
  <si>
    <t>Profit Per Booking</t>
  </si>
  <si>
    <t>SCENARIO ANALYSIS</t>
  </si>
  <si>
    <t>Cost</t>
  </si>
  <si>
    <t>Profit</t>
  </si>
  <si>
    <t>EXECUTIVE SUMMARY</t>
  </si>
  <si>
    <t>Current Revenue</t>
  </si>
  <si>
    <t>Current Cost</t>
  </si>
  <si>
    <t>Current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</si>
</sst>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0" workbookViewId="0">
      <selection activeCell="B25" sqref="B25"/>
    </sheetView>
  </sheetViews>
  <sheetFormatPr defaultColWidth="49.5546875" defaultRowHeight="14.4" x14ac:dyDescent="0.3"/>
  <sheetData>
    <row r="1" spans="1:2" x14ac:dyDescent="0.3">
      <c r="A1" s="1" t="s">
        <v>0</v>
      </c>
    </row>
    <row r="3" spans="1:2" x14ac:dyDescent="0.3">
      <c r="A3" t="s">
        <v>1</v>
      </c>
      <c r="B3">
        <v>36926</v>
      </c>
    </row>
    <row r="4" spans="1:2" x14ac:dyDescent="0.3">
      <c r="A4" t="s">
        <v>2</v>
      </c>
      <c r="B4">
        <v>2000</v>
      </c>
    </row>
    <row r="5" spans="1:2" x14ac:dyDescent="0.3">
      <c r="A5" t="s">
        <v>3</v>
      </c>
      <c r="B5">
        <v>5000</v>
      </c>
    </row>
    <row r="6" spans="1:2" x14ac:dyDescent="0.3">
      <c r="A6" t="s">
        <v>4</v>
      </c>
      <c r="B6">
        <v>3000</v>
      </c>
    </row>
    <row r="7" spans="1:2" x14ac:dyDescent="0.3">
      <c r="A7" t="s">
        <v>5</v>
      </c>
      <c r="B7">
        <f>B4+B5+B6</f>
        <v>10000</v>
      </c>
    </row>
    <row r="8" spans="1:2" x14ac:dyDescent="0.3">
      <c r="A8" t="s">
        <v>6</v>
      </c>
      <c r="B8">
        <f>B3-B7</f>
        <v>26926</v>
      </c>
    </row>
    <row r="9" spans="1:2" x14ac:dyDescent="0.3">
      <c r="A9" t="s">
        <v>7</v>
      </c>
      <c r="B9">
        <f>(B8/B3)*100</f>
        <v>72.9188105941613</v>
      </c>
    </row>
    <row r="11" spans="1:2" x14ac:dyDescent="0.3">
      <c r="A11" s="1" t="s">
        <v>8</v>
      </c>
    </row>
    <row r="12" spans="1:2" x14ac:dyDescent="0.3">
      <c r="A12" t="s">
        <v>9</v>
      </c>
      <c r="B12">
        <v>74</v>
      </c>
    </row>
    <row r="13" spans="1:2" x14ac:dyDescent="0.3">
      <c r="A13" t="s">
        <v>10</v>
      </c>
      <c r="B13">
        <f>B3/B12</f>
        <v>499</v>
      </c>
    </row>
    <row r="14" spans="1:2" x14ac:dyDescent="0.3">
      <c r="A14" t="s">
        <v>11</v>
      </c>
      <c r="B14">
        <f>B7/B12</f>
        <v>135.13513513513513</v>
      </c>
    </row>
    <row r="15" spans="1:2" x14ac:dyDescent="0.3">
      <c r="A15" t="s">
        <v>12</v>
      </c>
      <c r="B15">
        <f>B8/B12</f>
        <v>363.86486486486484</v>
      </c>
    </row>
    <row r="17" spans="1:3" x14ac:dyDescent="0.3">
      <c r="A17" s="1" t="s">
        <v>13</v>
      </c>
    </row>
    <row r="18" spans="1:3" x14ac:dyDescent="0.3">
      <c r="A18" t="s">
        <v>1</v>
      </c>
      <c r="B18" t="s">
        <v>14</v>
      </c>
      <c r="C18" t="s">
        <v>15</v>
      </c>
    </row>
    <row r="19" spans="1:3" x14ac:dyDescent="0.3">
      <c r="A19">
        <v>50000</v>
      </c>
      <c r="B19">
        <v>12000</v>
      </c>
      <c r="C19">
        <f>A19-B19</f>
        <v>38000</v>
      </c>
    </row>
    <row r="20" spans="1:3" x14ac:dyDescent="0.3">
      <c r="A20">
        <v>100000</v>
      </c>
      <c r="B20">
        <v>25000</v>
      </c>
      <c r="C20">
        <f>A20-B20</f>
        <v>75000</v>
      </c>
    </row>
    <row r="21" spans="1:3" x14ac:dyDescent="0.3">
      <c r="A21">
        <v>250000</v>
      </c>
      <c r="B21">
        <v>50000</v>
      </c>
      <c r="C21">
        <f>A21-B21</f>
        <v>200000</v>
      </c>
    </row>
    <row r="22" spans="1:3" x14ac:dyDescent="0.3">
      <c r="A22">
        <v>500000</v>
      </c>
      <c r="B22">
        <v>90000</v>
      </c>
      <c r="C22">
        <f>A22-B22</f>
        <v>410000</v>
      </c>
    </row>
    <row r="24" spans="1:3" x14ac:dyDescent="0.3">
      <c r="A24" s="1" t="s">
        <v>16</v>
      </c>
    </row>
    <row r="25" spans="1:3" x14ac:dyDescent="0.3">
      <c r="A25" t="s">
        <v>17</v>
      </c>
      <c r="B25">
        <f>B3</f>
        <v>36926</v>
      </c>
    </row>
    <row r="26" spans="1:3" x14ac:dyDescent="0.3">
      <c r="A26" t="s">
        <v>18</v>
      </c>
      <c r="B26">
        <f>B7</f>
        <v>10000</v>
      </c>
    </row>
    <row r="27" spans="1:3" x14ac:dyDescent="0.3">
      <c r="A27" t="s">
        <v>19</v>
      </c>
      <c r="B27">
        <f>B8</f>
        <v>26926</v>
      </c>
    </row>
    <row r="28" spans="1:3" x14ac:dyDescent="0.3">
      <c r="A28" t="s">
        <v>7</v>
      </c>
      <c r="B28">
        <f>B9</f>
        <v>72.9188105941613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SIDHARTH</cp:lastModifiedBy>
  <dcterms:created xsi:type="dcterms:W3CDTF">2026-06-07T21:54:15Z</dcterms:created>
  <dcterms:modified xsi:type="dcterms:W3CDTF">2026-06-07T22:09:53Z</dcterms:modified>
</cp:coreProperties>
</file>