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idha\Downloads\BA-PgBee-expansion-analytics\07_Financial_Modeling\"/>
    </mc:Choice>
  </mc:AlternateContent>
  <xr:revisionPtr revIDLastSave="0" documentId="13_ncr:1_{5BA65BC3-BD8B-4692-B6BC-A7BA780C0FA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venue_Mo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B30" i="1"/>
  <c r="B29" i="1"/>
  <c r="B28" i="1"/>
  <c r="B25" i="1"/>
  <c r="B24" i="1"/>
  <c r="B23" i="1"/>
  <c r="B22" i="1"/>
  <c r="B21" i="1"/>
  <c r="B20" i="1"/>
  <c r="B16" i="1"/>
  <c r="B15" i="1"/>
  <c r="B14" i="1"/>
  <c r="B12" i="1"/>
</calcChain>
</file>

<file path=xl/sharedStrings.xml><?xml version="1.0" encoding="utf-8"?>
<sst xmlns="http://schemas.openxmlformats.org/spreadsheetml/2006/main" count="22" uniqueCount="19">
  <si>
    <t>INPUT ASSUMPTIONS</t>
  </si>
  <si>
    <t>Total Students</t>
  </si>
  <si>
    <t>Total Hostels</t>
  </si>
  <si>
    <t>Total Bookings</t>
  </si>
  <si>
    <t>Commission Per Booking (₹)</t>
  </si>
  <si>
    <t>Average Hostel Rent (₹)</t>
  </si>
  <si>
    <t>Conversion Rate (%)</t>
  </si>
  <si>
    <t>CURRENT REVENUE</t>
  </si>
  <si>
    <t>Commission Per Booking</t>
  </si>
  <si>
    <t>Total Revenue</t>
  </si>
  <si>
    <t>Revenue Per Booking</t>
  </si>
  <si>
    <t>Revenue Per Hostel</t>
  </si>
  <si>
    <t>Revenue Per Student</t>
  </si>
  <si>
    <t>Growth Scenarios</t>
  </si>
  <si>
    <t>Bookings</t>
  </si>
  <si>
    <t>Revenue</t>
  </si>
  <si>
    <t>Executive KPI Summary</t>
  </si>
  <si>
    <t>Students</t>
  </si>
  <si>
    <t>Hostels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</si>
</sst>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topLeftCell="A10" workbookViewId="0">
      <selection activeCell="C17" sqref="C17"/>
    </sheetView>
  </sheetViews>
  <sheetFormatPr defaultColWidth="72.5546875" defaultRowHeight="14.4" x14ac:dyDescent="0.3"/>
  <sheetData>
    <row r="1" spans="1:2" x14ac:dyDescent="0.3">
      <c r="A1" s="1" t="s">
        <v>0</v>
      </c>
    </row>
    <row r="2" spans="1:2" x14ac:dyDescent="0.3">
      <c r="A2" t="s">
        <v>1</v>
      </c>
      <c r="B2">
        <v>74</v>
      </c>
    </row>
    <row r="3" spans="1:2" x14ac:dyDescent="0.3">
      <c r="A3" t="s">
        <v>2</v>
      </c>
      <c r="B3">
        <v>38</v>
      </c>
    </row>
    <row r="4" spans="1:2" x14ac:dyDescent="0.3">
      <c r="A4" t="s">
        <v>3</v>
      </c>
      <c r="B4">
        <v>74</v>
      </c>
    </row>
    <row r="5" spans="1:2" x14ac:dyDescent="0.3">
      <c r="A5" t="s">
        <v>4</v>
      </c>
      <c r="B5">
        <v>499</v>
      </c>
    </row>
    <row r="6" spans="1:2" x14ac:dyDescent="0.3">
      <c r="A6" t="s">
        <v>5</v>
      </c>
      <c r="B6">
        <v>6500</v>
      </c>
    </row>
    <row r="7" spans="1:2" x14ac:dyDescent="0.3">
      <c r="A7" t="s">
        <v>6</v>
      </c>
      <c r="B7">
        <v>1</v>
      </c>
    </row>
    <row r="9" spans="1:2" x14ac:dyDescent="0.3">
      <c r="A9" s="1" t="s">
        <v>7</v>
      </c>
    </row>
    <row r="10" spans="1:2" x14ac:dyDescent="0.3">
      <c r="A10" t="s">
        <v>3</v>
      </c>
      <c r="B10">
        <v>74</v>
      </c>
    </row>
    <row r="11" spans="1:2" x14ac:dyDescent="0.3">
      <c r="A11" t="s">
        <v>8</v>
      </c>
      <c r="B11">
        <v>499</v>
      </c>
    </row>
    <row r="12" spans="1:2" x14ac:dyDescent="0.3">
      <c r="A12" t="s">
        <v>9</v>
      </c>
      <c r="B12">
        <f>B10*B11</f>
        <v>36926</v>
      </c>
    </row>
    <row r="14" spans="1:2" x14ac:dyDescent="0.3">
      <c r="A14" t="s">
        <v>10</v>
      </c>
      <c r="B14">
        <f>B12/B10</f>
        <v>499</v>
      </c>
    </row>
    <row r="15" spans="1:2" x14ac:dyDescent="0.3">
      <c r="A15" t="s">
        <v>11</v>
      </c>
      <c r="B15">
        <f>B12/B3</f>
        <v>971.73684210526312</v>
      </c>
    </row>
    <row r="16" spans="1:2" x14ac:dyDescent="0.3">
      <c r="A16" t="s">
        <v>12</v>
      </c>
      <c r="B16">
        <f>B12/B2</f>
        <v>499</v>
      </c>
    </row>
    <row r="18" spans="1:2" x14ac:dyDescent="0.3">
      <c r="A18" s="1" t="s">
        <v>13</v>
      </c>
    </row>
    <row r="19" spans="1:2" x14ac:dyDescent="0.3">
      <c r="A19" t="s">
        <v>14</v>
      </c>
      <c r="B19" t="s">
        <v>15</v>
      </c>
    </row>
    <row r="20" spans="1:2" x14ac:dyDescent="0.3">
      <c r="A20">
        <v>74</v>
      </c>
      <c r="B20">
        <f t="shared" ref="B20:B25" si="0">A20*$B$11</f>
        <v>36926</v>
      </c>
    </row>
    <row r="21" spans="1:2" x14ac:dyDescent="0.3">
      <c r="A21">
        <v>100</v>
      </c>
      <c r="B21">
        <f t="shared" si="0"/>
        <v>49900</v>
      </c>
    </row>
    <row r="22" spans="1:2" x14ac:dyDescent="0.3">
      <c r="A22">
        <v>250</v>
      </c>
      <c r="B22">
        <f t="shared" si="0"/>
        <v>124750</v>
      </c>
    </row>
    <row r="23" spans="1:2" x14ac:dyDescent="0.3">
      <c r="A23">
        <v>500</v>
      </c>
      <c r="B23">
        <f t="shared" si="0"/>
        <v>249500</v>
      </c>
    </row>
    <row r="24" spans="1:2" x14ac:dyDescent="0.3">
      <c r="A24">
        <v>1000</v>
      </c>
      <c r="B24">
        <f t="shared" si="0"/>
        <v>499000</v>
      </c>
    </row>
    <row r="25" spans="1:2" x14ac:dyDescent="0.3">
      <c r="A25">
        <v>2500</v>
      </c>
      <c r="B25">
        <f t="shared" si="0"/>
        <v>1247500</v>
      </c>
    </row>
    <row r="27" spans="1:2" x14ac:dyDescent="0.3">
      <c r="A27" s="1" t="s">
        <v>16</v>
      </c>
    </row>
    <row r="28" spans="1:2" x14ac:dyDescent="0.3">
      <c r="A28" t="s">
        <v>17</v>
      </c>
      <c r="B28">
        <f>B2</f>
        <v>74</v>
      </c>
    </row>
    <row r="29" spans="1:2" x14ac:dyDescent="0.3">
      <c r="A29" t="s">
        <v>18</v>
      </c>
      <c r="B29">
        <f>B3</f>
        <v>38</v>
      </c>
    </row>
    <row r="30" spans="1:2" x14ac:dyDescent="0.3">
      <c r="A30" t="s">
        <v>14</v>
      </c>
      <c r="B30">
        <f>B4</f>
        <v>74</v>
      </c>
    </row>
    <row r="31" spans="1:2" x14ac:dyDescent="0.3">
      <c r="A31" t="s">
        <v>15</v>
      </c>
      <c r="B31">
        <f>B12</f>
        <v>36926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SIDHARTH</cp:lastModifiedBy>
  <dcterms:created xsi:type="dcterms:W3CDTF">2026-06-07T21:50:55Z</dcterms:created>
  <dcterms:modified xsi:type="dcterms:W3CDTF">2026-06-07T21:59:22Z</dcterms:modified>
</cp:coreProperties>
</file>