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idha\Downloads\BA-PgBee-expansion-analytics\07_Financial_Modeling\"/>
    </mc:Choice>
  </mc:AlternateContent>
  <xr:revisionPtr revIDLastSave="0" documentId="13_ncr:1_{F9CDD405-DE83-41C1-91A4-16B345CEBA3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Unit_Econom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" l="1"/>
  <c r="B20" i="1"/>
  <c r="B16" i="1"/>
  <c r="B14" i="1"/>
  <c r="B15" i="1" s="1"/>
  <c r="B10" i="1"/>
  <c r="B26" i="1" s="1"/>
  <c r="B9" i="1"/>
  <c r="B25" i="1" s="1"/>
  <c r="B11" i="1" l="1"/>
  <c r="B27" i="1" s="1"/>
  <c r="B19" i="1"/>
</calcChain>
</file>

<file path=xl/sharedStrings.xml><?xml version="1.0" encoding="utf-8"?>
<sst xmlns="http://schemas.openxmlformats.org/spreadsheetml/2006/main" count="25" uniqueCount="24">
  <si>
    <t>UNIT ECONOMICS MODEL</t>
  </si>
  <si>
    <t>INPUTS</t>
  </si>
  <si>
    <t>Total Students Acquired</t>
  </si>
  <si>
    <t>Marketing Spend (₹)</t>
  </si>
  <si>
    <t>Commission Per Booking (₹)</t>
  </si>
  <si>
    <t>Bookings</t>
  </si>
  <si>
    <t>CAC (Customer Acquisition Cost)</t>
  </si>
  <si>
    <t>LTV (Lifetime Value)</t>
  </si>
  <si>
    <t>LTV:CAC Ratio</t>
  </si>
  <si>
    <t>UNIT METRICS</t>
  </si>
  <si>
    <t>Revenue</t>
  </si>
  <si>
    <t>Revenue Per Student</t>
  </si>
  <si>
    <t>Revenue Per Booking</t>
  </si>
  <si>
    <t>PAYBACK ANALYSIS</t>
  </si>
  <si>
    <t>Customer Value (LTV)</t>
  </si>
  <si>
    <t>Customer Acquisition Cost</t>
  </si>
  <si>
    <t>Net Value Created</t>
  </si>
  <si>
    <t>INVESTOR BENCHMARKS</t>
  </si>
  <si>
    <t>Metric</t>
  </si>
  <si>
    <t>Value</t>
  </si>
  <si>
    <t>CAC</t>
  </si>
  <si>
    <t>LTV</t>
  </si>
  <si>
    <t>Target LTV:CAC</t>
  </si>
  <si>
    <t>3+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</si>
</sst>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topLeftCell="A10" workbookViewId="0">
      <selection activeCell="B24" sqref="B24"/>
    </sheetView>
  </sheetViews>
  <sheetFormatPr defaultColWidth="53.44140625" defaultRowHeight="14.4" x14ac:dyDescent="0.3"/>
  <sheetData>
    <row r="1" spans="1:2" x14ac:dyDescent="0.3">
      <c r="A1" s="1" t="s">
        <v>0</v>
      </c>
    </row>
    <row r="3" spans="1:2" x14ac:dyDescent="0.3">
      <c r="A3" s="1" t="s">
        <v>1</v>
      </c>
    </row>
    <row r="4" spans="1:2" x14ac:dyDescent="0.3">
      <c r="A4" t="s">
        <v>2</v>
      </c>
      <c r="B4">
        <v>74</v>
      </c>
    </row>
    <row r="5" spans="1:2" x14ac:dyDescent="0.3">
      <c r="A5" t="s">
        <v>3</v>
      </c>
      <c r="B5">
        <v>5000</v>
      </c>
    </row>
    <row r="6" spans="1:2" x14ac:dyDescent="0.3">
      <c r="A6" t="s">
        <v>4</v>
      </c>
      <c r="B6">
        <v>499</v>
      </c>
    </row>
    <row r="7" spans="1:2" x14ac:dyDescent="0.3">
      <c r="A7" t="s">
        <v>5</v>
      </c>
      <c r="B7">
        <v>74</v>
      </c>
    </row>
    <row r="9" spans="1:2" x14ac:dyDescent="0.3">
      <c r="A9" t="s">
        <v>6</v>
      </c>
      <c r="B9">
        <f>B5/B4</f>
        <v>67.567567567567565</v>
      </c>
    </row>
    <row r="10" spans="1:2" x14ac:dyDescent="0.3">
      <c r="A10" t="s">
        <v>7</v>
      </c>
      <c r="B10">
        <f>B6</f>
        <v>499</v>
      </c>
    </row>
    <row r="11" spans="1:2" x14ac:dyDescent="0.3">
      <c r="A11" t="s">
        <v>8</v>
      </c>
      <c r="B11">
        <f>B10/B9</f>
        <v>7.3852000000000002</v>
      </c>
    </row>
    <row r="13" spans="1:2" x14ac:dyDescent="0.3">
      <c r="A13" s="1" t="s">
        <v>9</v>
      </c>
    </row>
    <row r="14" spans="1:2" x14ac:dyDescent="0.3">
      <c r="A14" t="s">
        <v>10</v>
      </c>
      <c r="B14">
        <f>B6*B7</f>
        <v>36926</v>
      </c>
    </row>
    <row r="15" spans="1:2" x14ac:dyDescent="0.3">
      <c r="A15" t="s">
        <v>11</v>
      </c>
      <c r="B15">
        <f>B14/B4</f>
        <v>499</v>
      </c>
    </row>
    <row r="16" spans="1:2" x14ac:dyDescent="0.3">
      <c r="A16" t="s">
        <v>12</v>
      </c>
      <c r="B16">
        <f>B14/B7</f>
        <v>499</v>
      </c>
    </row>
    <row r="17" spans="1:2" x14ac:dyDescent="0.3">
      <c r="A17" s="1"/>
    </row>
    <row r="18" spans="1:2" x14ac:dyDescent="0.3">
      <c r="A18" s="2" t="s">
        <v>13</v>
      </c>
    </row>
    <row r="19" spans="1:2" x14ac:dyDescent="0.3">
      <c r="A19" t="s">
        <v>14</v>
      </c>
      <c r="B19">
        <f>B10</f>
        <v>499</v>
      </c>
    </row>
    <row r="20" spans="1:2" x14ac:dyDescent="0.3">
      <c r="A20" t="s">
        <v>15</v>
      </c>
      <c r="B20">
        <f>B9</f>
        <v>67.567567567567565</v>
      </c>
    </row>
    <row r="21" spans="1:2" x14ac:dyDescent="0.3">
      <c r="A21" t="s">
        <v>16</v>
      </c>
      <c r="B21">
        <f>B19-B20</f>
        <v>431.43243243243245</v>
      </c>
    </row>
    <row r="22" spans="1:2" x14ac:dyDescent="0.3">
      <c r="A22" s="1"/>
    </row>
    <row r="23" spans="1:2" x14ac:dyDescent="0.3">
      <c r="A23" s="2" t="s">
        <v>17</v>
      </c>
    </row>
    <row r="24" spans="1:2" x14ac:dyDescent="0.3">
      <c r="A24" t="s">
        <v>18</v>
      </c>
      <c r="B24" t="s">
        <v>19</v>
      </c>
    </row>
    <row r="25" spans="1:2" x14ac:dyDescent="0.3">
      <c r="A25" t="s">
        <v>20</v>
      </c>
      <c r="B25">
        <f>B9</f>
        <v>67.567567567567565</v>
      </c>
    </row>
    <row r="26" spans="1:2" x14ac:dyDescent="0.3">
      <c r="A26" t="s">
        <v>21</v>
      </c>
      <c r="B26">
        <f>B10</f>
        <v>499</v>
      </c>
    </row>
    <row r="27" spans="1:2" x14ac:dyDescent="0.3">
      <c r="A27" t="s">
        <v>8</v>
      </c>
      <c r="B27">
        <f>B11</f>
        <v>7.3852000000000002</v>
      </c>
    </row>
    <row r="28" spans="1:2" x14ac:dyDescent="0.3">
      <c r="A28" t="s">
        <v>22</v>
      </c>
      <c r="B28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Unit_Economics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 SIDHARTH</cp:lastModifiedBy>
  <dcterms:created xsi:type="dcterms:W3CDTF">2026-06-07T21:54:41Z</dcterms:created>
  <dcterms:modified xsi:type="dcterms:W3CDTF">2026-06-07T22:05:48Z</dcterms:modified>
</cp:coreProperties>
</file>