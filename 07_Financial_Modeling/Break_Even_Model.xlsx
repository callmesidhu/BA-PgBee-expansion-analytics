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dha\Downloads\BA-PgBee-expansion-analytics\07_Financial_Modeling\"/>
    </mc:Choice>
  </mc:AlternateContent>
  <xr:revisionPtr revIDLastSave="0" documentId="13_ncr:1_{5C15F02A-39AA-4FD4-A8A6-F43A13799EE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reak_Even_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12" i="1"/>
  <c r="B33" i="1"/>
  <c r="B28" i="1"/>
  <c r="B27" i="1"/>
  <c r="B26" i="1"/>
  <c r="B25" i="1"/>
  <c r="B24" i="1"/>
  <c r="B23" i="1"/>
  <c r="B14" i="1"/>
  <c r="B34" i="1" s="1"/>
  <c r="B8" i="1"/>
  <c r="B11" i="1" s="1"/>
  <c r="B15" i="1" l="1"/>
  <c r="B19" i="1"/>
  <c r="B31" i="1"/>
  <c r="B16" i="1" l="1"/>
</calcChain>
</file>

<file path=xl/sharedStrings.xml><?xml version="1.0" encoding="utf-8"?>
<sst xmlns="http://schemas.openxmlformats.org/spreadsheetml/2006/main" count="26" uniqueCount="25">
  <si>
    <t>BREAK-EVEN MODEL</t>
  </si>
  <si>
    <t>INPUT ASSUMPTIONS</t>
  </si>
  <si>
    <t>Commission Per Booking (₹)</t>
  </si>
  <si>
    <t>Hosting Cost (₹)</t>
  </si>
  <si>
    <t>Marketing Cost (₹)</t>
  </si>
  <si>
    <t>Admin Cost (₹)</t>
  </si>
  <si>
    <t>Total Fixed Cost (₹)</t>
  </si>
  <si>
    <t>BREAK-EVEN ANALYSIS</t>
  </si>
  <si>
    <t>Break-Even Bookings</t>
  </si>
  <si>
    <t>Break-Even Revenue (₹)</t>
  </si>
  <si>
    <t>Actual Bookings</t>
  </si>
  <si>
    <t>Actual Revenue (₹)</t>
  </si>
  <si>
    <t>Bookings Above Break-Even</t>
  </si>
  <si>
    <t>Revenue Above Break-Even (₹)</t>
  </si>
  <si>
    <t>SAFETY MARGIN</t>
  </si>
  <si>
    <t>Safety Margin %</t>
  </si>
  <si>
    <t>SCENARIO ANALYSIS</t>
  </si>
  <si>
    <t>Bookings</t>
  </si>
  <si>
    <t>Revenue</t>
  </si>
  <si>
    <t>EXECUTIVE SUMMARY</t>
  </si>
  <si>
    <t>Break-Even Point (Bookings)</t>
  </si>
  <si>
    <t>Current Bookings</t>
  </si>
  <si>
    <t>Current Revenue (₹)</t>
  </si>
  <si>
    <t>Status</t>
  </si>
  <si>
    <t>Profitable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</si>
</sst>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B31" sqref="B31"/>
    </sheetView>
  </sheetViews>
  <sheetFormatPr defaultColWidth="50.33203125" defaultRowHeight="14.4" x14ac:dyDescent="0.3"/>
  <sheetData>
    <row r="1" spans="1:2" x14ac:dyDescent="0.3">
      <c r="A1" s="1" t="s">
        <v>0</v>
      </c>
    </row>
    <row r="3" spans="1:2" x14ac:dyDescent="0.3">
      <c r="A3" s="1" t="s">
        <v>1</v>
      </c>
    </row>
    <row r="4" spans="1:2" x14ac:dyDescent="0.3">
      <c r="A4" t="s">
        <v>2</v>
      </c>
      <c r="B4">
        <v>499</v>
      </c>
    </row>
    <row r="5" spans="1:2" x14ac:dyDescent="0.3">
      <c r="A5" t="s">
        <v>3</v>
      </c>
      <c r="B5">
        <v>2000</v>
      </c>
    </row>
    <row r="6" spans="1:2" x14ac:dyDescent="0.3">
      <c r="A6" t="s">
        <v>4</v>
      </c>
      <c r="B6">
        <v>5000</v>
      </c>
    </row>
    <row r="7" spans="1:2" x14ac:dyDescent="0.3">
      <c r="A7" t="s">
        <v>5</v>
      </c>
      <c r="B7">
        <v>3000</v>
      </c>
    </row>
    <row r="8" spans="1:2" x14ac:dyDescent="0.3">
      <c r="A8" t="s">
        <v>6</v>
      </c>
      <c r="B8">
        <f>B5+B6+B7</f>
        <v>10000</v>
      </c>
    </row>
    <row r="10" spans="1:2" x14ac:dyDescent="0.3">
      <c r="A10" s="1" t="s">
        <v>7</v>
      </c>
    </row>
    <row r="11" spans="1:2" x14ac:dyDescent="0.3">
      <c r="A11" t="s">
        <v>8</v>
      </c>
      <c r="B11">
        <f>ROUNDUP(B8/B4,0)</f>
        <v>21</v>
      </c>
    </row>
    <row r="12" spans="1:2" x14ac:dyDescent="0.3">
      <c r="A12" t="s">
        <v>9</v>
      </c>
      <c r="B12">
        <f>B11*B4</f>
        <v>10479</v>
      </c>
    </row>
    <row r="13" spans="1:2" x14ac:dyDescent="0.3">
      <c r="A13" t="s">
        <v>10</v>
      </c>
      <c r="B13">
        <v>74</v>
      </c>
    </row>
    <row r="14" spans="1:2" x14ac:dyDescent="0.3">
      <c r="A14" t="s">
        <v>11</v>
      </c>
      <c r="B14">
        <f>B13*B4</f>
        <v>36926</v>
      </c>
    </row>
    <row r="15" spans="1:2" x14ac:dyDescent="0.3">
      <c r="A15" t="s">
        <v>12</v>
      </c>
      <c r="B15">
        <f>B13-B11</f>
        <v>53</v>
      </c>
    </row>
    <row r="16" spans="1:2" x14ac:dyDescent="0.3">
      <c r="A16" t="s">
        <v>13</v>
      </c>
      <c r="B16">
        <f>B14-B12</f>
        <v>26447</v>
      </c>
    </row>
    <row r="18" spans="1:2" x14ac:dyDescent="0.3">
      <c r="A18" s="1" t="s">
        <v>14</v>
      </c>
    </row>
    <row r="19" spans="1:2" x14ac:dyDescent="0.3">
      <c r="A19" t="s">
        <v>15</v>
      </c>
      <c r="B19">
        <f>((B13-B11)/B13)*100</f>
        <v>71.621621621621628</v>
      </c>
    </row>
    <row r="21" spans="1:2" x14ac:dyDescent="0.3">
      <c r="A21" s="1" t="s">
        <v>16</v>
      </c>
    </row>
    <row r="22" spans="1:2" x14ac:dyDescent="0.3">
      <c r="A22" t="s">
        <v>17</v>
      </c>
      <c r="B22" t="s">
        <v>18</v>
      </c>
    </row>
    <row r="23" spans="1:2" x14ac:dyDescent="0.3">
      <c r="A23">
        <v>25</v>
      </c>
      <c r="B23" t="e">
        <f t="shared" ref="B23:B28" si="0">A22*$B$4</f>
        <v>#VALUE!</v>
      </c>
    </row>
    <row r="24" spans="1:2" x14ac:dyDescent="0.3">
      <c r="A24">
        <v>50</v>
      </c>
      <c r="B24">
        <f t="shared" si="0"/>
        <v>12475</v>
      </c>
    </row>
    <row r="25" spans="1:2" x14ac:dyDescent="0.3">
      <c r="A25">
        <v>100</v>
      </c>
      <c r="B25">
        <f t="shared" si="0"/>
        <v>24950</v>
      </c>
    </row>
    <row r="26" spans="1:2" x14ac:dyDescent="0.3">
      <c r="A26">
        <v>250</v>
      </c>
      <c r="B26">
        <f t="shared" si="0"/>
        <v>49900</v>
      </c>
    </row>
    <row r="27" spans="1:2" x14ac:dyDescent="0.3">
      <c r="A27">
        <v>500</v>
      </c>
      <c r="B27">
        <f t="shared" si="0"/>
        <v>124750</v>
      </c>
    </row>
    <row r="28" spans="1:2" x14ac:dyDescent="0.3">
      <c r="A28">
        <v>1000</v>
      </c>
      <c r="B28">
        <f t="shared" si="0"/>
        <v>249500</v>
      </c>
    </row>
    <row r="30" spans="1:2" x14ac:dyDescent="0.3">
      <c r="A30" s="1" t="s">
        <v>19</v>
      </c>
    </row>
    <row r="31" spans="1:2" x14ac:dyDescent="0.3">
      <c r="A31" t="s">
        <v>20</v>
      </c>
      <c r="B31">
        <f>B11</f>
        <v>21</v>
      </c>
    </row>
    <row r="32" spans="1:2" x14ac:dyDescent="0.3">
      <c r="A32" t="s">
        <v>9</v>
      </c>
      <c r="B32">
        <f>B12</f>
        <v>10479</v>
      </c>
    </row>
    <row r="33" spans="1:2" x14ac:dyDescent="0.3">
      <c r="A33" t="s">
        <v>21</v>
      </c>
      <c r="B33">
        <f>B13</f>
        <v>74</v>
      </c>
    </row>
    <row r="34" spans="1:2" x14ac:dyDescent="0.3">
      <c r="A34" t="s">
        <v>22</v>
      </c>
      <c r="B34">
        <f>B14</f>
        <v>36926</v>
      </c>
    </row>
    <row r="35" spans="1:2" x14ac:dyDescent="0.3">
      <c r="A35" t="s">
        <v>23</v>
      </c>
      <c r="B3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Break_Even_Model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SIDHARTH</cp:lastModifiedBy>
  <dcterms:created xsi:type="dcterms:W3CDTF">2026-06-07T21:55:17Z</dcterms:created>
  <dcterms:modified xsi:type="dcterms:W3CDTF">2026-06-07T22:09:50Z</dcterms:modified>
</cp:coreProperties>
</file>