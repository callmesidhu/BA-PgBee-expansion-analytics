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ha\Downloads\BA-PgBee-expansion-analytics\02_Market_Research\"/>
    </mc:Choice>
  </mc:AlternateContent>
  <xr:revisionPtr revIDLastSave="0" documentId="13_ncr:1_{E53F87D3-159C-427B-A107-85B4C1BCC945}" xr6:coauthVersionLast="47" xr6:coauthVersionMax="47" xr10:uidLastSave="{00000000-0000-0000-0000-000000000000}"/>
  <bookViews>
    <workbookView xWindow="-108" yWindow="-108" windowWidth="23256" windowHeight="13176" activeTab="1" xr2:uid="{0651041D-86AB-47F8-B505-8ABFF177DCCF}"/>
  </bookViews>
  <sheets>
    <sheet name="Market_Summary" sheetId="1" r:id="rId1"/>
    <sheet name="District_Analysis" sheetId="2" r:id="rId2"/>
    <sheet name="Market_Siz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C3" i="3"/>
  <c r="B11" i="1"/>
  <c r="B10" i="1"/>
  <c r="B4" i="3" s="1"/>
  <c r="B2" i="3"/>
  <c r="C2" i="3"/>
  <c r="B3" i="3"/>
  <c r="C4" i="3"/>
  <c r="B2" i="1"/>
  <c r="B3" i="1"/>
  <c r="B5" i="1" s="1"/>
</calcChain>
</file>

<file path=xl/sharedStrings.xml><?xml version="1.0" encoding="utf-8"?>
<sst xmlns="http://schemas.openxmlformats.org/spreadsheetml/2006/main" count="40" uniqueCount="39">
  <si>
    <t>District</t>
  </si>
  <si>
    <t>Colleges</t>
  </si>
  <si>
    <t>Students</t>
  </si>
  <si>
    <t>Hostel Students %</t>
  </si>
  <si>
    <t>Hostel Capacity</t>
  </si>
  <si>
    <t>Required Beds</t>
  </si>
  <si>
    <t>Hostel Gap</t>
  </si>
  <si>
    <t>Demand Score</t>
  </si>
  <si>
    <t>Thiruvananthapuram</t>
  </si>
  <si>
    <t>Kollam</t>
  </si>
  <si>
    <t>Pathanamthitta</t>
  </si>
  <si>
    <t>Alappuzha</t>
  </si>
  <si>
    <t>Kottayam</t>
  </si>
  <si>
    <t>Idukki</t>
  </si>
  <si>
    <t>Ernakulam</t>
  </si>
  <si>
    <t>Thrissur</t>
  </si>
  <si>
    <t>Palakkad</t>
  </si>
  <si>
    <t>Malappuram</t>
  </si>
  <si>
    <t>Kozhikode</t>
  </si>
  <si>
    <t>Wayanad</t>
  </si>
  <si>
    <t>Kannur</t>
  </si>
  <si>
    <t>Kasaragod</t>
  </si>
  <si>
    <t>Total Students</t>
  </si>
  <si>
    <t>TAM Revenue</t>
  </si>
  <si>
    <t>SAM Students</t>
  </si>
  <si>
    <t>SAM Revenue</t>
  </si>
  <si>
    <t>SOM Students</t>
  </si>
  <si>
    <t>SOM Revenue</t>
  </si>
  <si>
    <t>A (Metric)</t>
  </si>
  <si>
    <t>B (Value / Formula)</t>
  </si>
  <si>
    <t>Hostel Demand (Required Beds)</t>
  </si>
  <si>
    <t>Average Commission</t>
  </si>
  <si>
    <t>Target Districts (SAM)</t>
  </si>
  <si>
    <t>Market Capture %</t>
  </si>
  <si>
    <t>Market Type</t>
  </si>
  <si>
    <t>TAM</t>
  </si>
  <si>
    <t>SAM</t>
  </si>
  <si>
    <t>SOM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</si>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</sst>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9" fontId="2" fillId="0" borderId="0" xfId="0" applyNumberFormat="1" applyFont="1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5705-C252-4597-88FC-234DFB842043}">
  <dimension ref="A1:B11"/>
  <sheetViews>
    <sheetView topLeftCell="A2" workbookViewId="0">
      <selection activeCell="B11" sqref="B11"/>
    </sheetView>
  </sheetViews>
  <sheetFormatPr defaultColWidth="34.69921875" defaultRowHeight="42" customHeight="1"/>
  <sheetData>
    <row r="1" spans="1:2" ht="42" customHeight="1">
      <c r="A1" s="1" t="s">
        <v>28</v>
      </c>
      <c r="B1" s="1" t="s">
        <v>29</v>
      </c>
    </row>
    <row r="2" spans="1:2" ht="42" customHeight="1">
      <c r="A2" s="2" t="s">
        <v>22</v>
      </c>
      <c r="B2" s="3">
        <f>SUM(District_Analysis!C2:C15)</f>
        <v>1110000</v>
      </c>
    </row>
    <row r="3" spans="1:2" ht="42" customHeight="1">
      <c r="A3" s="2" t="s">
        <v>30</v>
      </c>
      <c r="B3" s="3">
        <f>SUM(District_Analysis!F2:F15)</f>
        <v>377600</v>
      </c>
    </row>
    <row r="4" spans="1:2" ht="42" customHeight="1">
      <c r="A4" s="2" t="s">
        <v>31</v>
      </c>
      <c r="B4" s="3">
        <v>999</v>
      </c>
    </row>
    <row r="5" spans="1:2" ht="42" customHeight="1">
      <c r="A5" s="2" t="s">
        <v>23</v>
      </c>
      <c r="B5" s="3">
        <f>B3*B4</f>
        <v>377222400</v>
      </c>
    </row>
    <row r="6" spans="1:2" ht="42" customHeight="1">
      <c r="A6" s="2" t="s">
        <v>32</v>
      </c>
      <c r="B6" s="3">
        <v>5</v>
      </c>
    </row>
    <row r="7" spans="1:2" ht="42" customHeight="1">
      <c r="A7" s="2" t="s">
        <v>24</v>
      </c>
      <c r="B7" s="3">
        <v>159950</v>
      </c>
    </row>
    <row r="8" spans="1:2" ht="42" customHeight="1">
      <c r="A8" s="2" t="s">
        <v>25</v>
      </c>
      <c r="B8" s="3">
        <f>B7*B4</f>
        <v>159790050</v>
      </c>
    </row>
    <row r="9" spans="1:2" ht="42" customHeight="1">
      <c r="A9" s="2" t="s">
        <v>33</v>
      </c>
      <c r="B9" s="4">
        <v>0.1</v>
      </c>
    </row>
    <row r="10" spans="1:2" ht="42" customHeight="1">
      <c r="A10" t="s">
        <v>26</v>
      </c>
      <c r="B10">
        <f>B7*B9</f>
        <v>15995</v>
      </c>
    </row>
    <row r="11" spans="1:2" ht="42" customHeight="1">
      <c r="A11" t="s">
        <v>27</v>
      </c>
      <c r="B11">
        <f>B10*B4</f>
        <v>15979005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CC183-0F4D-40F5-BF72-7DA916191C60}">
  <dimension ref="A1:H15"/>
  <sheetViews>
    <sheetView tabSelected="1" workbookViewId="0">
      <selection activeCell="J13" sqref="J13"/>
    </sheetView>
  </sheetViews>
  <sheetFormatPr defaultColWidth="16.5" defaultRowHeight="24" customHeight="1"/>
  <sheetData>
    <row r="1" spans="1:8" ht="24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24" customHeight="1">
      <c r="A2" t="s">
        <v>8</v>
      </c>
      <c r="B2">
        <v>140</v>
      </c>
      <c r="C2">
        <v>125000</v>
      </c>
      <c r="D2">
        <v>30</v>
      </c>
      <c r="E2">
        <v>32000</v>
      </c>
      <c r="F2">
        <v>37500</v>
      </c>
      <c r="G2">
        <v>5500</v>
      </c>
      <c r="H2">
        <v>1.17</v>
      </c>
    </row>
    <row r="3" spans="1:8" ht="24" customHeight="1">
      <c r="A3" t="s">
        <v>9</v>
      </c>
      <c r="B3">
        <v>90</v>
      </c>
      <c r="C3">
        <v>75000</v>
      </c>
      <c r="D3">
        <v>22</v>
      </c>
      <c r="E3">
        <v>15000</v>
      </c>
      <c r="F3">
        <v>16500</v>
      </c>
      <c r="G3">
        <v>1500</v>
      </c>
      <c r="H3">
        <v>1.1000000000000001</v>
      </c>
    </row>
    <row r="4" spans="1:8" ht="24" customHeight="1">
      <c r="A4" t="s">
        <v>10</v>
      </c>
      <c r="B4">
        <v>55</v>
      </c>
      <c r="C4">
        <v>40000</v>
      </c>
      <c r="D4">
        <v>20</v>
      </c>
      <c r="E4">
        <v>9000</v>
      </c>
      <c r="F4">
        <v>8000</v>
      </c>
      <c r="G4">
        <v>-1000</v>
      </c>
      <c r="H4">
        <v>0.89</v>
      </c>
    </row>
    <row r="5" spans="1:8" ht="24" customHeight="1">
      <c r="A5" t="s">
        <v>11</v>
      </c>
      <c r="B5">
        <v>70</v>
      </c>
      <c r="C5">
        <v>50000</v>
      </c>
      <c r="D5">
        <v>20</v>
      </c>
      <c r="E5">
        <v>10000</v>
      </c>
      <c r="F5">
        <v>10000</v>
      </c>
      <c r="G5">
        <v>0</v>
      </c>
      <c r="H5">
        <v>1</v>
      </c>
    </row>
    <row r="6" spans="1:8" ht="24" customHeight="1">
      <c r="A6" t="s">
        <v>12</v>
      </c>
      <c r="B6">
        <v>105</v>
      </c>
      <c r="C6">
        <v>95000</v>
      </c>
      <c r="D6">
        <v>38</v>
      </c>
      <c r="E6">
        <v>26000</v>
      </c>
      <c r="F6">
        <v>36100</v>
      </c>
      <c r="G6">
        <v>10100</v>
      </c>
      <c r="H6">
        <v>1.39</v>
      </c>
    </row>
    <row r="7" spans="1:8" ht="24" customHeight="1">
      <c r="A7" t="s">
        <v>13</v>
      </c>
      <c r="B7">
        <v>50</v>
      </c>
      <c r="C7">
        <v>25000</v>
      </c>
      <c r="D7">
        <v>55</v>
      </c>
      <c r="E7">
        <v>9000</v>
      </c>
      <c r="F7">
        <v>13750</v>
      </c>
      <c r="G7">
        <v>4750</v>
      </c>
      <c r="H7">
        <v>1.53</v>
      </c>
    </row>
    <row r="8" spans="1:8" ht="24" customHeight="1">
      <c r="A8" t="s">
        <v>14</v>
      </c>
      <c r="B8">
        <v>170</v>
      </c>
      <c r="C8">
        <v>160000</v>
      </c>
      <c r="D8">
        <v>40</v>
      </c>
      <c r="E8">
        <v>45000</v>
      </c>
      <c r="F8">
        <v>64000</v>
      </c>
      <c r="G8">
        <v>19000</v>
      </c>
      <c r="H8">
        <v>1.42</v>
      </c>
    </row>
    <row r="9" spans="1:8" ht="24" customHeight="1">
      <c r="A9" t="s">
        <v>15</v>
      </c>
      <c r="B9">
        <v>120</v>
      </c>
      <c r="C9">
        <v>105000</v>
      </c>
      <c r="D9">
        <v>30</v>
      </c>
      <c r="E9">
        <v>28000</v>
      </c>
      <c r="F9">
        <v>31500</v>
      </c>
      <c r="G9">
        <v>3500</v>
      </c>
      <c r="H9">
        <v>1.1299999999999999</v>
      </c>
    </row>
    <row r="10" spans="1:8" ht="24" customHeight="1">
      <c r="A10" t="s">
        <v>16</v>
      </c>
      <c r="B10">
        <v>90</v>
      </c>
      <c r="C10">
        <v>70000</v>
      </c>
      <c r="D10">
        <v>28</v>
      </c>
      <c r="E10">
        <v>17000</v>
      </c>
      <c r="F10">
        <v>19600</v>
      </c>
      <c r="G10">
        <v>2600</v>
      </c>
      <c r="H10">
        <v>1.1499999999999999</v>
      </c>
    </row>
    <row r="11" spans="1:8" ht="24" customHeight="1">
      <c r="A11" t="s">
        <v>17</v>
      </c>
      <c r="B11">
        <v>130</v>
      </c>
      <c r="C11">
        <v>135000</v>
      </c>
      <c r="D11">
        <v>42</v>
      </c>
      <c r="E11">
        <v>33000</v>
      </c>
      <c r="F11">
        <v>56700</v>
      </c>
      <c r="G11">
        <v>23700</v>
      </c>
      <c r="H11">
        <v>1.72</v>
      </c>
    </row>
    <row r="12" spans="1:8" ht="24" customHeight="1">
      <c r="A12" t="s">
        <v>18</v>
      </c>
      <c r="B12">
        <v>125</v>
      </c>
      <c r="C12">
        <v>115000</v>
      </c>
      <c r="D12">
        <v>35</v>
      </c>
      <c r="E12">
        <v>29000</v>
      </c>
      <c r="F12">
        <v>40250</v>
      </c>
      <c r="G12">
        <v>11250</v>
      </c>
      <c r="H12">
        <v>1.39</v>
      </c>
    </row>
    <row r="13" spans="1:8" ht="24" customHeight="1">
      <c r="A13" t="s">
        <v>19</v>
      </c>
      <c r="B13">
        <v>40</v>
      </c>
      <c r="C13">
        <v>20000</v>
      </c>
      <c r="D13">
        <v>60</v>
      </c>
      <c r="E13">
        <v>7000</v>
      </c>
      <c r="F13">
        <v>12000</v>
      </c>
      <c r="G13">
        <v>5000</v>
      </c>
      <c r="H13">
        <v>1.71</v>
      </c>
    </row>
    <row r="14" spans="1:8" ht="24" customHeight="1">
      <c r="A14" t="s">
        <v>20</v>
      </c>
      <c r="B14">
        <v>85</v>
      </c>
      <c r="C14">
        <v>65000</v>
      </c>
      <c r="D14">
        <v>28</v>
      </c>
      <c r="E14">
        <v>17000</v>
      </c>
      <c r="F14">
        <v>18200</v>
      </c>
      <c r="G14">
        <v>1200</v>
      </c>
      <c r="H14">
        <v>1.07</v>
      </c>
    </row>
    <row r="15" spans="1:8" ht="24" customHeight="1">
      <c r="A15" t="s">
        <v>21</v>
      </c>
      <c r="B15">
        <v>55</v>
      </c>
      <c r="C15">
        <v>30000</v>
      </c>
      <c r="D15">
        <v>45</v>
      </c>
      <c r="E15">
        <v>9000</v>
      </c>
      <c r="F15">
        <v>13500</v>
      </c>
      <c r="G15">
        <v>4500</v>
      </c>
      <c r="H15">
        <v>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6BF4-A572-4207-B0BC-E43F7AD3FC86}">
  <dimension ref="A1:C5"/>
  <sheetViews>
    <sheetView workbookViewId="0">
      <selection activeCell="F6" sqref="F6"/>
    </sheetView>
  </sheetViews>
  <sheetFormatPr defaultColWidth="19.3984375" defaultRowHeight="67.8" customHeight="1"/>
  <cols>
    <col min="2" max="2" width="30.59765625" customWidth="1"/>
  </cols>
  <sheetData>
    <row r="1" spans="1:3" ht="67.8" customHeight="1">
      <c r="A1" s="2" t="s">
        <v>34</v>
      </c>
      <c r="B1" s="2" t="s">
        <v>2</v>
      </c>
      <c r="C1" s="2" t="s">
        <v>38</v>
      </c>
    </row>
    <row r="2" spans="1:3" ht="67.8" customHeight="1">
      <c r="A2" s="2" t="s">
        <v>35</v>
      </c>
      <c r="B2" s="2">
        <f>Market_Summary!B3</f>
        <v>377600</v>
      </c>
      <c r="C2" s="2">
        <f>Market_Summary!B5</f>
        <v>377222400</v>
      </c>
    </row>
    <row r="3" spans="1:3" ht="67.8" customHeight="1">
      <c r="A3" s="2" t="s">
        <v>36</v>
      </c>
      <c r="B3" s="2">
        <f>Market_Summary!B7</f>
        <v>159950</v>
      </c>
      <c r="C3" s="2">
        <f>Market_Summary!B8</f>
        <v>159790050</v>
      </c>
    </row>
    <row r="4" spans="1:3" ht="67.8" customHeight="1">
      <c r="A4" s="2" t="s">
        <v>37</v>
      </c>
      <c r="B4" s="2">
        <f>Market_Summary!B10</f>
        <v>15995</v>
      </c>
      <c r="C4" s="2">
        <f>Market_Summary!B11</f>
        <v>15979005</v>
      </c>
    </row>
    <row r="5" spans="1:3" ht="67.8" customHeight="1">
      <c r="A5" s="2"/>
      <c r="B5" s="5"/>
      <c r="C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Market_Summary</vt:lpstr>
      <vt:lpstr>District_Analysis</vt:lpstr>
      <vt:lpstr>Market_Sizing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SIDHARTH</dc:creator>
  <cp:lastModifiedBy>S SIDHARTH</cp:lastModifiedBy>
  <dcterms:created xsi:type="dcterms:W3CDTF">2026-06-05T22:34:21Z</dcterms:created>
  <dcterms:modified xsi:type="dcterms:W3CDTF">2026-06-07T07:51:31Z</dcterms:modified>
</cp:coreProperties>
</file>